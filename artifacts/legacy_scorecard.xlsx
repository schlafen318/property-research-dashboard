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775c4e74140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bb840ff169540cf"/>
    <x:sheet xmlns:r="http://schemas.openxmlformats.org/officeDocument/2006/relationships" name="Destination Scorecard" sheetId="2" r:id="Rfa643d8a8fcc41e2"/>
    <x:sheet xmlns:r="http://schemas.openxmlformats.org/officeDocument/2006/relationships" name="Weights &amp; Method" sheetId="3" r:id="Rb68b024bc3dc4b09"/>
    <x:sheet xmlns:r="http://schemas.openxmlformats.org/officeDocument/2006/relationships" name="Sources &amp; Notes" sheetId="4" r:id="R82795560b8aa47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44444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A44"/>
      </x:patternFill>
    </x:fill>
    <x:fill>
      <x:patternFill patternType="solid">
        <x:fgColor rgb="FFF3F6FA"/>
      </x:patternFill>
    </x:fill>
    <x:fill>
      <x:patternFill patternType="solid">
        <x:fgColor rgb="FFD9E1EE"/>
      </x:patternFill>
    </x:fill>
    <x:fill>
      <x:patternFill patternType="solid">
        <x:fgColor rgb="FF0B2E6D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5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10560638d143fd" /><Relationship Type="http://schemas.openxmlformats.org/officeDocument/2006/relationships/theme" Target="/xl/theme/theme1.xml" Id="R8ac5e4dc38a94f12" /><Relationship Type="http://schemas.openxmlformats.org/officeDocument/2006/relationships/sharedStrings" Target="/xl/sharedStrings.xml" Id="Rd841623297064a19" /><Relationship Type="http://schemas.openxmlformats.org/officeDocument/2006/relationships/worksheet" Target="/xl/worksheets/sheet1.xml" Id="Rfbb840ff169540cf" /><Relationship Type="http://schemas.openxmlformats.org/officeDocument/2006/relationships/worksheet" Target="/xl/worksheets/sheet2.xml" Id="Rfa643d8a8fcc41e2" /><Relationship Type="http://schemas.openxmlformats.org/officeDocument/2006/relationships/worksheet" Target="/xl/worksheets/sheet3.xml" Id="Rb68b024bc3dc4b09" /><Relationship Type="http://schemas.openxmlformats.org/officeDocument/2006/relationships/worksheet" Target="/xl/worksheets/sheet4.xml" Id="R82795560b8aa47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ff2890c387a423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Overall score by destination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Country</c:v>
          </c:tx>
          <c:cat>
            <c:strRef>
              <c:f>'Dashboard'!$E$5:$E$16</c:f>
              <c:strCache>
                <c:ptCount val="0"/>
              </c:strCache>
            </c:strRef>
          </c:cat>
          <c:val>
            <c:numRef>
              <c:f>'Dashboard'!$F$5:$F$16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Archetype</c:v>
          </c:tx>
          <c:cat>
            <c:strRef>
              <c:f>'Dashboard'!$E$5:$E$16</c:f>
              <c:strCache>
                <c:ptCount val="0"/>
              </c:strCache>
            </c:strRef>
          </c:cat>
          <c:val>
            <c:numRef>
              <c:f>'Dashboard'!$G$5:$G$16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Score</c:v>
          </c:tx>
          <c:cat>
            <c:strRef>
              <c:f>'Dashboard'!$E$5:$E$16</c:f>
              <c:strCache>
                <c:ptCount val="0"/>
              </c:strCache>
            </c:strRef>
          </c:cat>
          <c:val>
            <c:numRef>
              <c:f>'Dashboard'!$H$5:$H$16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11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f2890c387a423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stinationScorecard" displayName="DestinationScorecard" ref="A1:V13" headerRowCount="1">
  <x:tableColumns count="22">
    <x:tableColumn id="1" name="Destination"/>
    <x:tableColumn id="2" name="Country"/>
    <x:tableColumn id="3" name="Archetype"/>
    <x:tableColumn id="4" name="Scenery"/>
    <x:tableColumn id="5" name="Airport access"/>
    <x:tableColumn id="6" name="Business-centre access"/>
    <x:tableColumn id="7" name="Year-round activity"/>
    <x:tableColumn id="8" name="Ownership clarity"/>
    <x:tableColumn id="9" name="STR regulatory safety"/>
    <x:tableColumn id="10" name="Rental profit"/>
    <x:tableColumn id="11" name="Capital upside"/>
    <x:tableColumn id="12" name="Retirement suitability"/>
    <x:tableColumn id="13" name="Exit liquidity"/>
    <x:tableColumn id="14" name="Indicative net yield"/>
    <x:tableColumn id="15" name="Ownership route / key rule"/>
    <x:tableColumn id="16" name="Main profit driver"/>
    <x:tableColumn id="17" name="Key red flags"/>
    <x:tableColumn id="18" name="Overall score"/>
    <x:tableColumn id="19" name="Bucket"/>
    <x:tableColumn id="20" name="Source 1"/>
    <x:tableColumn id="21" name="Source 2"/>
    <x:tableColumn id="22" name="Source 3"/>
  </x:tableColumns>
  <x:tableStyleInfo name="TableStyleMedium2" showRowStripes="1"/>
</x:table>
</file>

<file path=xl/tables/table2.xml><?xml version="1.0" encoding="utf-8"?>
<x:table xmlns:x="http://schemas.openxmlformats.org/spreadsheetml/2006/main" id="3" name="WeightsTable" displayName="WeightsTable" ref="A1:B11" headerRowCount="1">
  <x:tableColumns count="2">
    <x:tableColumn id="1" name="Scoring category"/>
    <x:tableColumn id="2" name="Weight (%)"/>
  </x:tableColumns>
  <x:tableStyleInfo name="TableStyleMedium2" showRowStripes="1"/>
</x:table>
</file>

<file path=xl/tables/table3.xml><?xml version="1.0" encoding="utf-8"?>
<x:table xmlns:x="http://schemas.openxmlformats.org/spreadsheetml/2006/main" id="2" name="SourcesTable" displayName="SourcesTable" ref="A1:D37" headerRowCount="1">
  <x:tableColumns count="4">
    <x:tableColumn id="1" name="Destination"/>
    <x:tableColumn id="2" name="Topic"/>
    <x:tableColumn id="3" name="Source URL"/>
    <x:tableColumn id="4" name="What it suppor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6ab74fd9f1b4f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7233b903af47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94042235f94f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7b14e3be884732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24" hidden="0" customWidth="1"/>
    <x:col min="4" max="4" width="8" hidden="0" customWidth="1"/>
    <x:col min="5" max="5" width="20" hidden="0" customWidth="1"/>
    <x:col min="6" max="6" width="14" hidden="0" customWidth="1"/>
    <x:col min="7" max="7" width="22" hidden="0" customWidth="1"/>
    <x:col min="8" max="8" width="10" hidden="0" customWidth="1"/>
    <x:col min="9" max="9" width="24" hidden="0" customWidth="1"/>
    <x:col min="10" max="10" width="12" hidden="0" customWidth="1"/>
    <x:col min="11" max="11" width="50" hidden="0" customWidth="1"/>
  </x:cols>
  <x:sheetData>
    <x:row r="1" ht="32" customHeight="1">
      <x:c r="A1" s="10" t="str">
        <x:v>Holiday + Retirement Property Development Dashboard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 ht="32" customHeight="1">
      <x:c r="A2" s="14" t="str">
        <x:v>Generated 2026-06-21 | Screening view across lifestyle, access, ownership, yield and exit liquidity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 ht="32" customHeight="1"/>
    <x:row r="4" ht="32" customHeight="1">
      <x:c r="A4" s="18" t="str">
        <x:v>Screened destinations</x:v>
      </x:c>
      <x:c r="B4" s="20" t="n">
        <x:f>COUNTA('Destination Scorecard'!A2:A13)</x:f>
        <x:v>12</x:v>
      </x:c>
      <x:c r="D4" s="24" t="str">
        <x:v>Rank</x:v>
      </x:c>
      <x:c r="E4" s="24" t="str">
        <x:v>Destination</x:v>
      </x:c>
      <x:c r="F4" s="24" t="str">
        <x:v>Country</x:v>
      </x:c>
      <x:c r="G4" s="24" t="str">
        <x:v>Archetype</x:v>
      </x:c>
      <x:c r="H4" s="24" t="str">
        <x:v>Score</x:v>
      </x:c>
      <x:c r="I4" s="24" t="str">
        <x:v>Bucket</x:v>
      </x:c>
      <x:c r="J4" s="24" t="str">
        <x:v>Yield</x:v>
      </x:c>
      <x:c r="K4" s="24" t="str">
        <x:v>Main caveat</x:v>
      </x:c>
    </x:row>
    <x:row r="5" ht="32" customHeight="1">
      <x:c r="A5" s="18" t="str">
        <x:v>Priority shortlist count</x:v>
      </x:c>
      <x:c r="B5" s="20" t="n">
        <x:f>COUNTIF('Destination Scorecard'!S2:S13,"A. Priority shortlist")</x:f>
        <x:v>0</x:v>
      </x:c>
      <x:c r="D5" t="n">
        <x:v>1</x:v>
      </x:c>
      <x:c r="E5" t="str">
        <x:v>Algarve / Cascais</x:v>
      </x:c>
      <x:c r="F5" t="str">
        <x:v>Portugal</x:v>
      </x:c>
      <x:c r="G5" t="str">
        <x:v>Coastal / retirement</x:v>
      </x:c>
      <x:c r="H5" s="20" t="e">
        <x:f>'Destination Scorecard'!R10</x:f>
      </x:c>
      <x:c r="I5" t="e">
        <x:f>'Destination Scorecard'!S10</x:f>
      </x:c>
      <x:c r="J5" t="str">
        <x:v>3–5%</x:v>
      </x:c>
      <x:c r="K5" t="str">
        <x:v>Some local AL restrictions, peak-season concentration, rising prices, water/heat risk.</x:v>
      </x:c>
    </x:row>
    <x:row r="6" ht="32" customHeight="1">
      <x:c r="A6" s="18" t="str">
        <x:v>Highest overall score</x:v>
      </x:c>
      <x:c r="B6" s="20" t="e">
        <x:f>MAX('Destination Scorecard'!R2:R13)</x:f>
      </x:c>
      <x:c r="D6" t="n">
        <x:v>2</x:v>
      </x:c>
      <x:c r="E6" t="str">
        <x:v>Fukuoka / Itoshima</x:v>
      </x:c>
      <x:c r="F6" t="str">
        <x:v>Japan</x:v>
      </x:c>
      <x:c r="G6" t="str">
        <x:v>Lifestyle city + beach</x:v>
      </x:c>
      <x:c r="H6" s="20" t="e">
        <x:f>'Destination Scorecard'!R5</x:f>
      </x:c>
      <x:c r="I6" t="e">
        <x:f>'Destination Scorecard'!S5</x:f>
      </x:c>
      <x:c r="J6" t="str">
        <x:v>3.5–5.5%</x:v>
      </x:c>
      <x:c r="K6" t="str">
        <x:v>Less trophy-scenery pull than alpine/beach resort markets; tourist-yield upside lower.</x:v>
      </x:c>
    </x:row>
    <x:row r="7" ht="32" customHeight="1">
      <x:c r="A7" s="18" t="str">
        <x:v>Median overall score</x:v>
      </x:c>
      <x:c r="B7" s="20" t="e">
        <x:f>MEDIAN('Destination Scorecard'!R2:R13)</x:f>
      </x:c>
      <x:c r="D7" t="n">
        <x:v>3</x:v>
      </x:c>
      <x:c r="E7" t="str">
        <x:v>Chamonix</x:v>
      </x:c>
      <x:c r="F7" t="str">
        <x:v>France</x:v>
      </x:c>
      <x:c r="G7" t="str">
        <x:v>Alpine / mountain</x:v>
      </x:c>
      <x:c r="H7" s="20" t="e">
        <x:f>'Destination Scorecard'!R8</x:f>
      </x:c>
      <x:c r="I7" t="e">
        <x:f>'Destination Scorecard'!S8</x:f>
      </x:c>
      <x:c r="J7" t="str">
        <x:v>2.5–4%</x:v>
      </x:c>
      <x:c r="K7" t="str">
        <x:v>STR authorisation risk, second-home pushback, high pricing, lower net yield.</x:v>
      </x:c>
    </x:row>
    <x:row r="8" ht="32" customHeight="1">
      <x:c r="D8" t="n">
        <x:v>4</x:v>
      </x:c>
      <x:c r="E8" t="str">
        <x:v>Hakuba</x:v>
      </x:c>
      <x:c r="F8" t="str">
        <x:v>Japan</x:v>
      </x:c>
      <x:c r="G8" t="str">
        <x:v>Alpine / mountain</x:v>
      </x:c>
      <x:c r="H8" s="20" t="e">
        <x:f>'Destination Scorecard'!R3</x:f>
      </x:c>
      <x:c r="I8" t="e">
        <x:f>'Destination Scorecard'!S3</x:f>
      </x:c>
      <x:c r="J8" t="str">
        <x:v>3.5–6%</x:v>
      </x:c>
      <x:c r="K8" t="str">
        <x:v>Still less institutionalised than Niseko; liquidity and service quality more uneven.</x:v>
      </x:c>
    </x:row>
    <x:row r="9" ht="32" customHeight="1">
      <x:c r="D9" t="n">
        <x:v>5</x:v>
      </x:c>
      <x:c r="E9" t="str">
        <x:v>Niseko</x:v>
      </x:c>
      <x:c r="F9" t="str">
        <x:v>Japan</x:v>
      </x:c>
      <x:c r="G9" t="str">
        <x:v>Alpine / mountain</x:v>
      </x:c>
      <x:c r="H9" s="20" t="e">
        <x:f>'Destination Scorecard'!R2</x:f>
      </x:c>
      <x:c r="I9" t="e">
        <x:f>'Destination Scorecard'!S2</x:f>
      </x:c>
      <x:c r="J9" t="str">
        <x:v>3–5%</x:v>
      </x:c>
      <x:c r="K9" t="str">
        <x:v>High build cost, snow/weather seasonality, local development scrutiny, operator dependency.</x:v>
      </x:c>
    </x:row>
    <x:row r="10" ht="32" customHeight="1">
      <x:c r="A10" s="24" t="str">
        <x:v>Initial screen takeaways</x:v>
      </x:c>
      <x:c r="B10" s="22"/>
      <x:c r="C10" s="22"/>
      <x:c r="D10" t="n">
        <x:v>6</x:v>
      </x:c>
      <x:c r="E10" t="str">
        <x:v>Mallorca</x:v>
      </x:c>
      <x:c r="F10" t="str">
        <x:v>Spain</x:v>
      </x:c>
      <x:c r="G10" t="str">
        <x:v>Mediterranean island</x:v>
      </x:c>
      <x:c r="H10" s="20" t="e">
        <x:f>'Destination Scorecard'!R9</x:f>
      </x:c>
      <x:c r="I10" t="e">
        <x:f>'Destination Scorecard'!S9</x:f>
      </x:c>
      <x:c r="J10" t="str">
        <x:v>2–4%</x:v>
      </x:c>
      <x:c r="K10" t="str">
        <x:v>Licensing bottleneck, anti-tourism politics, water/heat risk, summer seasonality.</x:v>
      </x:c>
    </x:row>
    <x:row r="11" ht="32" customHeight="1">
      <x:c r="A11" t="str">
        <x:v>Best balanced screen: Algarve/Cascais and Japan lifestyle nodes, because ownership is cleaner and liveability is stronger.</x:v>
      </x:c>
      <x:c r="D11" t="n">
        <x:v>7</x:v>
      </x:c>
      <x:c r="E11" t="str">
        <x:v>Hakone / Izu</x:v>
      </x:c>
      <x:c r="F11" t="str">
        <x:v>Japan</x:v>
      </x:c>
      <x:c r="G11" t="str">
        <x:v>Urban-adjacent nature</x:v>
      </x:c>
      <x:c r="H11" s="20" t="e">
        <x:f>'Destination Scorecard'!R4</x:f>
      </x:c>
      <x:c r="I11" t="e">
        <x:f>'Destination Scorecard'!S4</x:f>
      </x:c>
      <x:c r="J11" t="str">
        <x:v>2.5–4.5%</x:v>
      </x:c>
      <x:c r="K11" t="str">
        <x:v>Lower international destination pull; older housing stock; earthquake/typhoon exposure.</x:v>
      </x:c>
    </x:row>
    <x:row r="12" ht="32" customHeight="1">
      <x:c r="A12" t="str">
        <x:v>Highest yield screen: Phuket/Samui and Bali, but the return is structurally less clean because foreigners cannot own land freehold.</x:v>
      </x:c>
      <x:c r="D12" t="n">
        <x:v>8</x:v>
      </x:c>
      <x:c r="E12" t="str">
        <x:v>Whistler</x:v>
      </x:c>
      <x:c r="F12" t="str">
        <x:v>Canada</x:v>
      </x:c>
      <x:c r="G12" t="str">
        <x:v>Alpine / mountain</x:v>
      </x:c>
      <x:c r="H12" s="20" t="e">
        <x:f>'Destination Scorecard'!R7</x:f>
      </x:c>
      <x:c r="I12" t="e">
        <x:f>'Destination Scorecard'!S7</x:f>
      </x:c>
      <x:c r="J12" t="str">
        <x:v>2.5–4.5%</x:v>
      </x:c>
      <x:c r="K12" t="str">
        <x:v>Policy/tax complexity, very high entry price, STR zoning constraints, climate/snow risk.</x:v>
      </x:c>
    </x:row>
    <x:row r="13" ht="32" customHeight="1">
      <x:c r="A13" t="str">
        <x:v>Most trophy-like markets: Niseko, Hakuba, Queenstown, Whistler and Chamonix; diligence must focus on regulation, seasonality, build cost and exit liquidity.</x:v>
      </x:c>
      <x:c r="D13" t="n">
        <x:v>9</x:v>
      </x:c>
      <x:c r="E13" t="str">
        <x:v>Phuket / Koh Samui</x:v>
      </x:c>
      <x:c r="F13" t="str">
        <x:v>Thailand</x:v>
      </x:c>
      <x:c r="G13" t="str">
        <x:v>Beach / wellness</x:v>
      </x:c>
      <x:c r="H13" s="20" t="e">
        <x:f>'Destination Scorecard'!R11</x:f>
      </x:c>
      <x:c r="I13" t="e">
        <x:f>'Destination Scorecard'!S11</x:f>
      </x:c>
      <x:c r="J13" t="str">
        <x:v>4–8%</x:v>
      </x:c>
      <x:c r="K13" t="str">
        <x:v>No direct foreign land freehold, nominee/company structure risk, oversupply pockets, tropical maintenance.</x:v>
      </x:c>
    </x:row>
    <x:row r="14" ht="32" customHeight="1">
      <x:c r="A14" t="str">
        <x:v>Most dangerous trap: buying for scenery while underwriting to optimistic gross-yield assumptions or relying on fragile STR licences.</x:v>
      </x:c>
      <x:c r="D14" t="n">
        <x:v>10</x:v>
      </x:c>
      <x:c r="E14" t="str">
        <x:v>Queenstown</x:v>
      </x:c>
      <x:c r="F14" t="str">
        <x:v>New Zealand</x:v>
      </x:c>
      <x:c r="G14" t="str">
        <x:v>Alpine / lake lifestyle</x:v>
      </x:c>
      <x:c r="H14" s="20" t="e">
        <x:f>'Destination Scorecard'!R6</x:f>
      </x:c>
      <x:c r="I14" t="e">
        <x:f>'Destination Scorecard'!S6</x:f>
      </x:c>
      <x:c r="J14" t="str">
        <x:v>3–5%</x:v>
      </x:c>
      <x:c r="K14" t="str">
        <x:v>Foreign-buyer restrictions, high prices, political housing pressure, seasonality.</x:v>
      </x:c>
    </x:row>
    <x:row r="15" ht="32" customHeight="1">
      <x:c r="D15" t="n">
        <x:v>11</x:v>
      </x:c>
      <x:c r="E15" t="str">
        <x:v>Bali</x:v>
      </x:c>
      <x:c r="F15" t="str">
        <x:v>Indonesia</x:v>
      </x:c>
      <x:c r="G15" t="str">
        <x:v>Beach / wellness</x:v>
      </x:c>
      <x:c r="H15" s="20" t="e">
        <x:f>'Destination Scorecard'!R12</x:f>
      </x:c>
      <x:c r="I15" t="e">
        <x:f>'Destination Scorecard'!S12</x:f>
      </x:c>
      <x:c r="J15" t="str">
        <x:v>5–10%</x:v>
      </x:c>
      <x:c r="K15" t="str">
        <x:v>Leasehold decay, legal structure risk, traffic/infrastructure stress, oversupply and execution quality.</x:v>
      </x:c>
    </x:row>
    <x:row r="16" ht="32" customHeight="1">
      <x:c r="D16" t="n">
        <x:v>12</x:v>
      </x:c>
      <x:c r="E16" t="str">
        <x:v>Da Nang / Hoi An</x:v>
      </x:c>
      <x:c r="F16" t="str">
        <x:v>Vietnam</x:v>
      </x:c>
      <x:c r="G16" t="str">
        <x:v>Beach / heritage city</x:v>
      </x:c>
      <x:c r="H16" s="20" t="e">
        <x:f>'Destination Scorecard'!R13</x:f>
      </x:c>
      <x:c r="I16" t="e">
        <x:f>'Destination Scorecard'!S13</x:f>
      </x:c>
      <x:c r="J16" t="str">
        <x:v>2.5–4%</x:v>
      </x:c>
      <x:c r="K16" t="str">
        <x:v>Leasehold/foreign quota, shallower resale market, brochure ROI risk, governance opacity.</x:v>
      </x:c>
    </x:row>
    <x:row r="17" ht="32" customHeight="1"/>
    <x:row r="18" ht="32" customHeight="1"/>
    <x:row r="19" ht="32" customHeight="1"/>
    <x:row r="20" ht="32" customHeight="1"/>
    <x:row r="21" ht="32" customHeight="1"/>
    <x:row r="22" ht="32" customHeight="1"/>
    <x:row r="23" ht="32" customHeight="1"/>
    <x:row r="24" ht="32" customHeight="1"/>
    <x:row r="25" ht="32" customHeight="1"/>
    <x:row r="26" ht="32" customHeight="1"/>
    <x:row r="27" ht="32" customHeight="1"/>
    <x:row r="28" ht="32" customHeight="1"/>
    <x:row r="29" ht="32" customHeight="1"/>
    <x:row r="30" ht="32" customHeight="1"/>
    <x:row r="31" ht="32" customHeight="1"/>
    <x:row r="32" ht="32" customHeight="1"/>
    <x:row r="33" ht="32" customHeight="1"/>
    <x:row r="34" ht="32" customHeight="1"/>
    <x:row r="35" ht="32" customHeight="1"/>
    <x:row r="36" ht="32" customHeight="1"/>
    <x:row r="37" ht="32" customHeight="1"/>
    <x:row r="38" ht="32" customHeight="1"/>
    <x:row r="39" ht="32" customHeight="1"/>
    <x:row r="40" ht="32" customHeight="1"/>
    <x:row r="41" ht="32" customHeight="1"/>
    <x:row r="42" ht="32" customHeight="1"/>
    <x:row r="43" ht="32" customHeight="1"/>
    <x:row r="44" ht="32" customHeight="1"/>
    <x:row r="45" ht="32" customHeight="1"/>
    <x:row r="46" ht="32" customHeight="1"/>
    <x:row r="47" ht="32" customHeight="1"/>
    <x:row r="48" ht="32" customHeight="1"/>
    <x:row r="49" ht="32" customHeight="1"/>
    <x:row r="50" ht="32" customHeight="1"/>
    <x:row r="51" ht="32" customHeight="1"/>
    <x:row r="52" ht="32" customHeight="1"/>
    <x:row r="53" ht="32" customHeight="1"/>
    <x:row r="54" ht="32" customHeight="1"/>
    <x:row r="55" ht="32" customHeight="1"/>
    <x:row r="56" ht="32" customHeight="1"/>
    <x:row r="57" ht="32" customHeight="1"/>
    <x:row r="58" ht="32" customHeight="1"/>
    <x:row r="59" ht="32" customHeight="1"/>
    <x:row r="60" ht="32" customHeight="1"/>
  </x:sheetData>
  <x:mergeCells>
    <x:mergeCell ref="A1:L1"/>
    <x:mergeCell ref="A2:L2"/>
    <x:mergeCell ref="A10:C10"/>
  </x:mergeCells>
  <x:conditionalFormatting sqref="H5:H1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b6ab74fd9f1b4fa6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0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6" hidden="0" customWidth="1"/>
    <x:col min="15" max="15" width="55" hidden="0" customWidth="1"/>
    <x:col min="16" max="16" width="45" hidden="0" customWidth="1"/>
    <x:col min="17" max="17" width="55" hidden="0" customWidth="1"/>
    <x:col min="18" max="18" width="12" hidden="0" customWidth="1"/>
    <x:col min="19" max="19" width="24" hidden="0" customWidth="1"/>
    <x:col min="20" max="20" width="45" hidden="0" customWidth="1"/>
    <x:col min="21" max="21" width="45" hidden="0" customWidth="1"/>
    <x:col min="22" max="22" width="45" hidden="0" customWidth="1"/>
  </x:cols>
  <x:sheetData>
    <x:row r="1" ht="32" customHeight="1">
      <x:c r="A1" s="28" t="str">
        <x:v>Destination</x:v>
      </x:c>
      <x:c r="B1" s="28" t="str">
        <x:v>Country</x:v>
      </x:c>
      <x:c r="C1" s="28" t="str">
        <x:v>Archetype</x:v>
      </x:c>
      <x:c r="D1" s="28" t="str">
        <x:v>Scenery</x:v>
      </x:c>
      <x:c r="E1" s="28" t="str">
        <x:v>Airport access</x:v>
      </x:c>
      <x:c r="F1" s="28" t="str">
        <x:v>Business-centre access</x:v>
      </x:c>
      <x:c r="G1" s="28" t="str">
        <x:v>Year-round activity</x:v>
      </x:c>
      <x:c r="H1" s="28" t="str">
        <x:v>Ownership clarity</x:v>
      </x:c>
      <x:c r="I1" s="28" t="str">
        <x:v>STR regulatory safety</x:v>
      </x:c>
      <x:c r="J1" s="28" t="str">
        <x:v>Rental profit</x:v>
      </x:c>
      <x:c r="K1" s="28" t="str">
        <x:v>Capital upside</x:v>
      </x:c>
      <x:c r="L1" s="28" t="str">
        <x:v>Retirement suitability</x:v>
      </x:c>
      <x:c r="M1" s="28" t="str">
        <x:v>Exit liquidity</x:v>
      </x:c>
      <x:c r="N1" s="28" t="str">
        <x:v>Indicative net yield</x:v>
      </x:c>
      <x:c r="O1" s="28" t="str">
        <x:v>Ownership route / key rule</x:v>
      </x:c>
      <x:c r="P1" s="28" t="str">
        <x:v>Main profit driver</x:v>
      </x:c>
      <x:c r="Q1" s="28" t="str">
        <x:v>Key red flags</x:v>
      </x:c>
      <x:c r="R1" s="28" t="str">
        <x:v>Overall score</x:v>
      </x:c>
      <x:c r="S1" s="28" t="str">
        <x:v>Bucket</x:v>
      </x:c>
      <x:c r="T1" s="28" t="str">
        <x:v>Source 1</x:v>
      </x:c>
      <x:c r="U1" s="28" t="str">
        <x:v>Source 2</x:v>
      </x:c>
      <x:c r="V1" s="28" t="str">
        <x:v>Source 3</x:v>
      </x:c>
      <x:c r="W1" s="8"/>
      <x:c r="X1" s="8"/>
      <x:c r="Y1" s="8"/>
      <x:c r="Z1" s="8"/>
    </x:row>
    <x:row r="2" ht="32" customHeight="1">
      <x:c r="A2" t="str">
        <x:v>Niseko</x:v>
      </x:c>
      <x:c r="B2" t="str">
        <x:v>Japan</x:v>
      </x:c>
      <x:c r="C2" t="str">
        <x:v>Alpine / mountain</x:v>
      </x:c>
      <x:c r="D2" s="26" t="n">
        <x:v>5</x:v>
      </x:c>
      <x:c r="E2" s="26" t="n">
        <x:v>3.5</x:v>
      </x:c>
      <x:c r="F2" s="26" t="n">
        <x:v>3.5</x:v>
      </x:c>
      <x:c r="G2" s="26" t="n">
        <x:v>4</x:v>
      </x:c>
      <x:c r="H2" s="26" t="n">
        <x:v>5</x:v>
      </x:c>
      <x:c r="I2" s="26" t="n">
        <x:v>3</x:v>
      </x:c>
      <x:c r="J2" s="26" t="n">
        <x:v>3.5</x:v>
      </x:c>
      <x:c r="K2" s="26" t="n">
        <x:v>4</x:v>
      </x:c>
      <x:c r="L2" s="26" t="n">
        <x:v>3.5</x:v>
      </x:c>
      <x:c r="M2" s="26" t="n">
        <x:v>4</x:v>
      </x:c>
      <x:c r="N2" t="str">
        <x:v>3–5%</x:v>
      </x:c>
      <x:c r="O2" t="str">
        <x:v>Foreigners can generally own land/buildings; likely additional foreign-buyer reporting from Apr 2026. STR via hotel licence or minpaku subject to 180-day cap and local rules.</x:v>
      </x:c>
      <x:c r="P2" t="str">
        <x:v>Deep global ski demand, premium nightly rates, growing summer/wellness demand.</x:v>
      </x:c>
      <x:c r="Q2" t="str">
        <x:v>High build cost, snow/weather seasonality, local development scrutiny, operator dependency.</x:v>
      </x:c>
      <x:c r="R2" s="20" t="e">
        <x:f>SUMPRODUCT(D2:M2,'Weights &amp; Method'!$B$2:$B$11)/SUM('Weights &amp; Method'!$B$2:$B$11)</x:f>
      </x:c>
      <x:c r="S2" t="e">
        <x:f>IF(R2&gt;=4.1,"A. Priority shortlist",IF(R2&gt;=3.75,"B. Worth deeper diligence",IF(R2&gt;=3.4,"C. Opportunistic / structure-sensitive","D. Avoid unless special edge")))</x:f>
      </x:c>
      <x:c r="T2" t="str">
        <x:v>https://resourcehub.bakermckenzie.com/en/resources/global-corporate-real-estate-guide/asia-pacific/japan/topics/real-estate-law</x:v>
      </x:c>
      <x:c r="U2" t="str">
        <x:v>https://www.japan-property.jp/blog-buy/details158</x:v>
      </x:c>
      <x:c r="V2" t="str">
        <x:v>https://www.reuters.com/world/asia-pacific/japan-expand-rules-foreigners-property-purchases-2025-12-16/</x:v>
      </x:c>
    </x:row>
    <x:row r="3" ht="32" customHeight="1">
      <x:c r="A3" t="str">
        <x:v>Hakuba</x:v>
      </x:c>
      <x:c r="B3" t="str">
        <x:v>Japan</x:v>
      </x:c>
      <x:c r="C3" t="str">
        <x:v>Alpine / mountain</x:v>
      </x:c>
      <x:c r="D3" s="26" t="n">
        <x:v>5</x:v>
      </x:c>
      <x:c r="E3" s="26" t="n">
        <x:v>3.5</x:v>
      </x:c>
      <x:c r="F3" s="26" t="n">
        <x:v>3.5</x:v>
      </x:c>
      <x:c r="G3" s="26" t="n">
        <x:v>4</x:v>
      </x:c>
      <x:c r="H3" s="26" t="n">
        <x:v>5</x:v>
      </x:c>
      <x:c r="I3" s="26" t="n">
        <x:v>3</x:v>
      </x:c>
      <x:c r="J3" s="26" t="n">
        <x:v>4</x:v>
      </x:c>
      <x:c r="K3" s="26" t="n">
        <x:v>4.2</x:v>
      </x:c>
      <x:c r="L3" s="26" t="n">
        <x:v>3.5</x:v>
      </x:c>
      <x:c r="M3" s="26" t="n">
        <x:v>3.5</x:v>
      </x:c>
      <x:c r="N3" t="str">
        <x:v>3.5–6%</x:v>
      </x:c>
      <x:c r="O3" t="str">
        <x:v>Foreigners can generally own land/buildings; STR rules depend on minpaku/hotel licence and local zoning.</x:v>
      </x:c>
      <x:c r="P3" t="str">
        <x:v>Emerging international ski market with lower entry point than Niseko and strong winter/summer adventure appeal.</x:v>
      </x:c>
      <x:c r="Q3" t="str">
        <x:v>Still less institutionalised than Niseko; liquidity and service quality more uneven.</x:v>
      </x:c>
      <x:c r="R3" s="20" t="e">
        <x:f>SUMPRODUCT(D3:M3,'Weights &amp; Method'!$B$2:$B$11)/SUM('Weights &amp; Method'!$B$2:$B$11)</x:f>
      </x:c>
      <x:c r="S3" t="e">
        <x:f>IF(R3&gt;=4.1,"A. Priority shortlist",IF(R3&gt;=3.75,"B. Worth deeper diligence",IF(R3&gt;=3.4,"C. Opportunistic / structure-sensitive","D. Avoid unless special edge")))</x:f>
      </x:c>
      <x:c r="T3" t="str">
        <x:v>https://www.hakuba.com/ja/blogs/buying-in-hakuba/</x:v>
      </x:c>
      <x:c r="U3" t="str">
        <x:v>https://www.japan-property.jp/blog-buy/details158</x:v>
      </x:c>
      <x:c r="V3" t="str">
        <x:v>https://www.akiyajapan.com/articles/best-regions-for-foreign-investors</x:v>
      </x:c>
    </x:row>
    <x:row r="4" ht="32" customHeight="1">
      <x:c r="A4" t="str">
        <x:v>Hakone / Izu</x:v>
      </x:c>
      <x:c r="B4" t="str">
        <x:v>Japan</x:v>
      </x:c>
      <x:c r="C4" t="str">
        <x:v>Urban-adjacent nature</x:v>
      </x:c>
      <x:c r="D4" s="26" t="n">
        <x:v>4.5</x:v>
      </x:c>
      <x:c r="E4" s="26" t="n">
        <x:v>4.5</x:v>
      </x:c>
      <x:c r="F4" s="26" t="n">
        <x:v>4.5</x:v>
      </x:c>
      <x:c r="G4" s="26" t="n">
        <x:v>3.5</x:v>
      </x:c>
      <x:c r="H4" s="26" t="n">
        <x:v>5</x:v>
      </x:c>
      <x:c r="I4" s="26" t="n">
        <x:v>3</x:v>
      </x:c>
      <x:c r="J4" s="26" t="n">
        <x:v>3</x:v>
      </x:c>
      <x:c r="K4" s="26" t="n">
        <x:v>3.2</x:v>
      </x:c>
      <x:c r="L4" s="26" t="n">
        <x:v>4</x:v>
      </x:c>
      <x:c r="M4" s="26" t="n">
        <x:v>3.5</x:v>
      </x:c>
      <x:c r="N4" t="str">
        <x:v>2.5–4.5%</x:v>
      </x:c>
      <x:c r="O4" t="str">
        <x:v>Foreigners can generally own freehold; STR rules must be checked municipality-by-municipality.</x:v>
      </x:c>
      <x:c r="P4" t="str">
        <x:v>Tokyo weekend demand, onsen/nature, easier personal use and retirement optionality.</x:v>
      </x:c>
      <x:c r="Q4" t="str">
        <x:v>Lower international destination pull; older housing stock; earthquake/typhoon exposure.</x:v>
      </x:c>
      <x:c r="R4" s="20" t="e">
        <x:f>SUMPRODUCT(D4:M4,'Weights &amp; Method'!$B$2:$B$11)/SUM('Weights &amp; Method'!$B$2:$B$11)</x:f>
      </x:c>
      <x:c r="S4" t="e">
        <x:f>IF(R4&gt;=4.1,"A. Priority shortlist",IF(R4&gt;=3.75,"B. Worth deeper diligence",IF(R4&gt;=3.4,"C. Opportunistic / structure-sensitive","D. Avoid unless special edge")))</x:f>
      </x:c>
      <x:c r="T4" t="str">
        <x:v>https://resourcehub.bakermckenzie.com/en/resources/global-corporate-real-estate-guide/asia-pacific/japan/topics/real-estate-law</x:v>
      </x:c>
      <x:c r="U4" t="str">
        <x:v>https://property-concierge.link/contents/18</x:v>
      </x:c>
      <x:c r="V4" t="str">
        <x:v>https://www.japan.travel/en/</x:v>
      </x:c>
    </x:row>
    <x:row r="5" ht="32" customHeight="1">
      <x:c r="A5" t="str">
        <x:v>Fukuoka / Itoshima</x:v>
      </x:c>
      <x:c r="B5" t="str">
        <x:v>Japan</x:v>
      </x:c>
      <x:c r="C5" t="str">
        <x:v>Lifestyle city + beach</x:v>
      </x:c>
      <x:c r="D5" s="26" t="n">
        <x:v>3.8</x:v>
      </x:c>
      <x:c r="E5" s="26" t="n">
        <x:v>5</x:v>
      </x:c>
      <x:c r="F5" s="26" t="n">
        <x:v>4.5</x:v>
      </x:c>
      <x:c r="G5" s="26" t="n">
        <x:v>4</x:v>
      </x:c>
      <x:c r="H5" s="26" t="n">
        <x:v>5</x:v>
      </x:c>
      <x:c r="I5" s="26" t="n">
        <x:v>3</x:v>
      </x:c>
      <x:c r="J5" s="26" t="n">
        <x:v>3.5</x:v>
      </x:c>
      <x:c r="K5" s="26" t="n">
        <x:v>3.8</x:v>
      </x:c>
      <x:c r="L5" s="26" t="n">
        <x:v>4.5</x:v>
      </x:c>
      <x:c r="M5" s="26" t="n">
        <x:v>4</x:v>
      </x:c>
      <x:c r="N5" t="str">
        <x:v>3.5–5.5%</x:v>
      </x:c>
      <x:c r="O5" t="str">
        <x:v>Foreigners can generally own freehold; standard Japanese residential/STR rules apply.</x:v>
      </x:c>
      <x:c r="P5" t="str">
        <x:v>Urban economy, airport proximity, beach access, liveability, domestic migration and tourism.</x:v>
      </x:c>
      <x:c r="Q5" t="str">
        <x:v>Less trophy-scenery pull than alpine/beach resort markets; tourist-yield upside lower.</x:v>
      </x:c>
      <x:c r="R5" s="20" t="e">
        <x:f>SUMPRODUCT(D5:M5,'Weights &amp; Method'!$B$2:$B$11)/SUM('Weights &amp; Method'!$B$2:$B$11)</x:f>
      </x:c>
      <x:c r="S5" t="e">
        <x:f>IF(R5&gt;=4.1,"A. Priority shortlist",IF(R5&gt;=3.75,"B. Worth deeper diligence",IF(R5&gt;=3.4,"C. Opportunistic / structure-sensitive","D. Avoid unless special edge")))</x:f>
      </x:c>
      <x:c r="T5" t="str">
        <x:v>https://resourcehub.bakermckenzie.com/en/resources/global-corporate-real-estate-guide/asia-pacific/japan/topics/real-estate-law</x:v>
      </x:c>
      <x:c r="U5" t="str">
        <x:v>https://nippontradings.com/japan-real-estate-investment-complete-guide-2026/</x:v>
      </x:c>
      <x:c r="V5" t="str">
        <x:v>https://www.japan.travel/en/</x:v>
      </x:c>
    </x:row>
    <x:row r="6" ht="32" customHeight="1">
      <x:c r="A6" t="str">
        <x:v>Queenstown</x:v>
      </x:c>
      <x:c r="B6" t="str">
        <x:v>New Zealand</x:v>
      </x:c>
      <x:c r="C6" t="str">
        <x:v>Alpine / lake lifestyle</x:v>
      </x:c>
      <x:c r="D6" s="26" t="n">
        <x:v>5</x:v>
      </x:c>
      <x:c r="E6" s="26" t="n">
        <x:v>3.5</x:v>
      </x:c>
      <x:c r="F6" s="26" t="n">
        <x:v>3.5</x:v>
      </x:c>
      <x:c r="G6" s="26" t="n">
        <x:v>4.5</x:v>
      </x:c>
      <x:c r="H6" s="26" t="n">
        <x:v>2.5</x:v>
      </x:c>
      <x:c r="I6" s="26" t="n">
        <x:v>3.5</x:v>
      </x:c>
      <x:c r="J6" s="26" t="n">
        <x:v>3.5</x:v>
      </x:c>
      <x:c r="K6" s="26" t="n">
        <x:v>4</x:v>
      </x:c>
      <x:c r="L6" s="26" t="n">
        <x:v>4</x:v>
      </x:c>
      <x:c r="M6" s="26" t="n">
        <x:v>3.5</x:v>
      </x:c>
      <x:c r="N6" t="str">
        <x:v>3–5%</x:v>
      </x:c>
      <x:c r="O6" t="str">
        <x:v>Overseas people usually cannot buy residential land/houses unless eligible; some luxury/visa or new-build exceptions may apply.</x:v>
      </x:c>
      <x:c r="P6" t="str">
        <x:v>Global adventure tourism, lake/mountain scarcity, high ADR and institutional hotel interest.</x:v>
      </x:c>
      <x:c r="Q6" t="str">
        <x:v>Foreign-buyer restrictions, high prices, political housing pressure, seasonality.</x:v>
      </x:c>
      <x:c r="R6" s="20" t="e">
        <x:f>SUMPRODUCT(D6:M6,'Weights &amp; Method'!$B$2:$B$11)/SUM('Weights &amp; Method'!$B$2:$B$11)</x:f>
      </x:c>
      <x:c r="S6" t="e">
        <x:f>IF(R6&gt;=4.1,"A. Priority shortlist",IF(R6&gt;=3.75,"B. Worth deeper diligence",IF(R6&gt;=3.4,"C. Opportunistic / structure-sensitive","D. Avoid unless special edge")))</x:f>
      </x:c>
      <x:c r="T6" t="str">
        <x:v>https://www.linz.govt.nz/guidance/overseas-investment/buying-residential-property-live</x:v>
      </x:c>
      <x:c r="U6" t="str">
        <x:v>https://www.airroi.com/airbnb-data/new-zealand</x:v>
      </x:c>
      <x:c r="V6" t="str">
        <x:v>https://www.forbes.com/sites/forbes-global-properties/2025/09/23/buying-a-home-in-new-zealand-just-got-a-little-easier-for-foreigners/</x:v>
      </x:c>
    </x:row>
    <x:row r="7" ht="32" customHeight="1">
      <x:c r="A7" t="str">
        <x:v>Whistler</x:v>
      </x:c>
      <x:c r="B7" t="str">
        <x:v>Canada</x:v>
      </x:c>
      <x:c r="C7" t="str">
        <x:v>Alpine / mountain</x:v>
      </x:c>
      <x:c r="D7" s="26" t="n">
        <x:v>5</x:v>
      </x:c>
      <x:c r="E7" s="26" t="n">
        <x:v>4</x:v>
      </x:c>
      <x:c r="F7" s="26" t="n">
        <x:v>4</x:v>
      </x:c>
      <x:c r="G7" s="26" t="n">
        <x:v>4.5</x:v>
      </x:c>
      <x:c r="H7" s="26" t="n">
        <x:v>3</x:v>
      </x:c>
      <x:c r="I7" s="26" t="n">
        <x:v>3</x:v>
      </x:c>
      <x:c r="J7" s="26" t="n">
        <x:v>3.5</x:v>
      </x:c>
      <x:c r="K7" s="26" t="n">
        <x:v>3.5</x:v>
      </x:c>
      <x:c r="L7" s="26" t="n">
        <x:v>4</x:v>
      </x:c>
      <x:c r="M7" s="26" t="n">
        <x:v>4</x:v>
      </x:c>
      <x:c r="N7" t="str">
        <x:v>2.5–4.5%</x:v>
      </x:c>
      <x:c r="O7" t="str">
        <x:v>Canada has a federal foreign-buyer ban for many residential properties; Whistler-specific exemptions and provincial tax treatment require legal confirmation.</x:v>
      </x:c>
      <x:c r="P7" t="str">
        <x:v>High ADR, strong winter/summer tourism, North American buyer depth.</x:v>
      </x:c>
      <x:c r="Q7" t="str">
        <x:v>Policy/tax complexity, very high entry price, STR zoning constraints, climate/snow risk.</x:v>
      </x:c>
      <x:c r="R7" s="20" t="e">
        <x:f>SUMPRODUCT(D7:M7,'Weights &amp; Method'!$B$2:$B$11)/SUM('Weights &amp; Method'!$B$2:$B$11)</x:f>
      </x:c>
      <x:c r="S7" t="e">
        <x:f>IF(R7&gt;=4.1,"A. Priority shortlist",IF(R7&gt;=3.75,"B. Worth deeper diligence",IF(R7&gt;=3.4,"C. Opportunistic / structure-sensitive","D. Avoid unless special edge")))</x:f>
      </x:c>
      <x:c r="T7" t="str">
        <x:v>https://www.bcrea.bc.ca/advocacy/federal-foreign-buyers-ban-is-in-effect/</x:v>
      </x:c>
      <x:c r="U7" t="str">
        <x:v>https://www.airroi.com/airbnb-data/canada/british-columbia/whistler</x:v>
      </x:c>
      <x:c r="V7" t="str">
        <x:v>https://www2.gov.bc.ca/gov/content/taxes/speculation-vacancy-tax</x:v>
      </x:c>
    </x:row>
    <x:row r="8" ht="32" customHeight="1">
      <x:c r="A8" t="str">
        <x:v>Chamonix</x:v>
      </x:c>
      <x:c r="B8" t="str">
        <x:v>France</x:v>
      </x:c>
      <x:c r="C8" t="str">
        <x:v>Alpine / mountain</x:v>
      </x:c>
      <x:c r="D8" s="26" t="n">
        <x:v>5</x:v>
      </x:c>
      <x:c r="E8" s="26" t="n">
        <x:v>4.5</x:v>
      </x:c>
      <x:c r="F8" s="26" t="n">
        <x:v>4.5</x:v>
      </x:c>
      <x:c r="G8" s="26" t="n">
        <x:v>4.5</x:v>
      </x:c>
      <x:c r="H8" s="26" t="n">
        <x:v>4.5</x:v>
      </x:c>
      <x:c r="I8" s="26" t="n">
        <x:v>2.5</x:v>
      </x:c>
      <x:c r="J8" s="26" t="n">
        <x:v>3.2</x:v>
      </x:c>
      <x:c r="K8" s="26" t="n">
        <x:v>3.5</x:v>
      </x:c>
      <x:c r="L8" s="26" t="n">
        <x:v>4</x:v>
      </x:c>
      <x:c r="M8" s="26" t="n">
        <x:v>4</x:v>
      </x:c>
      <x:c r="N8" t="str">
        <x:v>2.5–4%</x:v>
      </x:c>
      <x:c r="O8" t="str">
        <x:v>Foreigners can buy; STR registration/authorisation tightening, including limits on number of tourist-rental properties in Chamonix valley.</x:v>
      </x:c>
      <x:c r="P8" t="str">
        <x:v>Iconic global alpine brand, year-round climbing/skiing/hiking demand, strong European access.</x:v>
      </x:c>
      <x:c r="Q8" t="str">
        <x:v>STR authorisation risk, second-home pushback, high pricing, lower net yield.</x:v>
      </x:c>
      <x:c r="R8" s="20" t="e">
        <x:f>SUMPRODUCT(D8:M8,'Weights &amp; Method'!$B$2:$B$11)/SUM('Weights &amp; Method'!$B$2:$B$11)</x:f>
      </x:c>
      <x:c r="S8" t="e">
        <x:f>IF(R8&gt;=4.1,"A. Priority shortlist",IF(R8&gt;=3.75,"B. Worth deeper diligence",IF(R8&gt;=3.4,"C. Opportunistic / structure-sensitive","D. Avoid unless special edge")))</x:f>
      </x:c>
      <x:c r="T8" t="str">
        <x:v>https://www.service-public.gouv.fr/particuliers/actualites/A17883?lang=en</x:v>
      </x:c>
      <x:c r="U8" t="str">
        <x:v>https://shorttermrentalz.com/news/chamonix-short-term-rental-limits-may-2025/</x:v>
      </x:c>
      <x:c r="V8" t="str">
        <x:v>https://airbtics.com/annual-airbnb-revenue-in-chamonix-mont-blanc-auvergne-rhone-alpes-france</x:v>
      </x:c>
    </x:row>
    <x:row r="9" ht="32" customHeight="1">
      <x:c r="A9" t="str">
        <x:v>Mallorca</x:v>
      </x:c>
      <x:c r="B9" t="str">
        <x:v>Spain</x:v>
      </x:c>
      <x:c r="C9" t="str">
        <x:v>Mediterranean island</x:v>
      </x:c>
      <x:c r="D9" s="26" t="n">
        <x:v>5</x:v>
      </x:c>
      <x:c r="E9" s="26" t="n">
        <x:v>4.5</x:v>
      </x:c>
      <x:c r="F9" s="26" t="n">
        <x:v>4</x:v>
      </x:c>
      <x:c r="G9" s="26" t="n">
        <x:v>4</x:v>
      </x:c>
      <x:c r="H9" s="26" t="n">
        <x:v>4.5</x:v>
      </x:c>
      <x:c r="I9" s="26" t="n">
        <x:v>2.5</x:v>
      </x:c>
      <x:c r="J9" s="26" t="n">
        <x:v>3</x:v>
      </x:c>
      <x:c r="K9" s="26" t="n">
        <x:v>3.5</x:v>
      </x:c>
      <x:c r="L9" s="26" t="n">
        <x:v>4</x:v>
      </x:c>
      <x:c r="M9" s="26" t="n">
        <x:v>4</x:v>
      </x:c>
      <x:c r="N9" t="str">
        <x:v>2–4%</x:v>
      </x:c>
      <x:c r="O9" t="str">
        <x:v>Foreigners can buy; legal STR requires tourist licence and apartment communities generally need approval.</x:v>
      </x:c>
      <x:c r="P9" t="str">
        <x:v>Premium Mediterranean lifestyle, European demand, scarcity of high-quality licensed villas.</x:v>
      </x:c>
      <x:c r="Q9" t="str">
        <x:v>Licensing bottleneck, anti-tourism politics, water/heat risk, summer seasonality.</x:v>
      </x:c>
      <x:c r="R9" s="20" t="e">
        <x:f>SUMPRODUCT(D9:M9,'Weights &amp; Method'!$B$2:$B$11)/SUM('Weights &amp; Method'!$B$2:$B$11)</x:f>
      </x:c>
      <x:c r="S9" t="e">
        <x:f>IF(R9&gt;=4.1,"A. Priority shortlist",IF(R9&gt;=3.75,"B. Worth deeper diligence",IF(R9&gt;=3.4,"C. Opportunistic / structure-sensitive","D. Avoid unless special edge")))</x:f>
      </x:c>
      <x:c r="T9" t="str">
        <x:v>https://globallawexperts.com/buying-property-in-spain-2026/</x:v>
      </x:c>
      <x:c r="U9" t="str">
        <x:v>https://www.portfolio-deluxe.com/news/the-lowdown-on-buying-a-rental-property-in-spain-in-2026</x:v>
      </x:c>
      <x:c r="V9" t="str">
        <x:v>https://andersonwestrealestate.com/rental-income-mallorca-property/</x:v>
      </x:c>
    </x:row>
    <x:row r="10" ht="32" customHeight="1">
      <x:c r="A10" t="str">
        <x:v>Algarve / Cascais</x:v>
      </x:c>
      <x:c r="B10" t="str">
        <x:v>Portugal</x:v>
      </x:c>
      <x:c r="C10" t="str">
        <x:v>Coastal / retirement</x:v>
      </x:c>
      <x:c r="D10" s="26" t="n">
        <x:v>4.5</x:v>
      </x:c>
      <x:c r="E10" s="26" t="n">
        <x:v>4.5</x:v>
      </x:c>
      <x:c r="F10" s="26" t="n">
        <x:v>4.5</x:v>
      </x:c>
      <x:c r="G10" s="26" t="n">
        <x:v>4</x:v>
      </x:c>
      <x:c r="H10" s="26" t="n">
        <x:v>5</x:v>
      </x:c>
      <x:c r="I10" s="26" t="n">
        <x:v>3.5</x:v>
      </x:c>
      <x:c r="J10" s="26" t="n">
        <x:v>3.8</x:v>
      </x:c>
      <x:c r="K10" s="26" t="n">
        <x:v>3.8</x:v>
      </x:c>
      <x:c r="L10" s="26" t="n">
        <x:v>4.8</x:v>
      </x:c>
      <x:c r="M10" s="26" t="n">
        <x:v>4</x:v>
      </x:c>
      <x:c r="N10" t="str">
        <x:v>3–5%</x:v>
      </x:c>
      <x:c r="O10" t="str">
        <x:v>Foreigners can generally own freehold; STR requires Alojamento Local licence; local containment zones must be checked.</x:v>
      </x:c>
      <x:c r="P10" t="str">
        <x:v>Retirement migration, golf/beach/wellness, Lisbon/Faro access, broader long-stay demand.</x:v>
      </x:c>
      <x:c r="Q10" t="str">
        <x:v>Some local AL restrictions, peak-season concentration, rising prices, water/heat risk.</x:v>
      </x:c>
      <x:c r="R10" s="20" t="e">
        <x:f>SUMPRODUCT(D10:M10,'Weights &amp; Method'!$B$2:$B$11)/SUM('Weights &amp; Method'!$B$2:$B$11)</x:f>
      </x:c>
      <x:c r="S10" t="e">
        <x:f>IF(R10&gt;=4.1,"A. Priority shortlist",IF(R10&gt;=3.75,"B. Worth deeper diligence",IF(R10&gt;=3.4,"C. Opportunistic / structure-sensitive","D. Avoid unless special edge")))</x:f>
      </x:c>
      <x:c r="T10" t="str">
        <x:v>https://www.mondaq.com/landlord-tenant-leases/1791202/buying-property-in-portugal-in-2026-what-foreign-buyers-need-to-know-before-they-sign</x:v>
      </x:c>
      <x:c r="U10" t="str">
        <x:v>https://www.youroverseashome.com/portugal/articles/short-term-rental-rules-portugal-2026/</x:v>
      </x:c>
      <x:c r="V10" t="str">
        <x:v>https://www.visitportugal.com/en/destinos/algarve</x:v>
      </x:c>
    </x:row>
    <x:row r="11" ht="32" customHeight="1">
      <x:c r="A11" t="str">
        <x:v>Phuket / Koh Samui</x:v>
      </x:c>
      <x:c r="B11" t="str">
        <x:v>Thailand</x:v>
      </x:c>
      <x:c r="C11" t="str">
        <x:v>Beach / wellness</x:v>
      </x:c>
      <x:c r="D11" s="26" t="n">
        <x:v>4.5</x:v>
      </x:c>
      <x:c r="E11" s="26" t="n">
        <x:v>4</x:v>
      </x:c>
      <x:c r="F11" s="26" t="n">
        <x:v>4</x:v>
      </x:c>
      <x:c r="G11" s="26" t="n">
        <x:v>4</x:v>
      </x:c>
      <x:c r="H11" s="26" t="n">
        <x:v>2.5</x:v>
      </x:c>
      <x:c r="I11" s="26" t="n">
        <x:v>3.5</x:v>
      </x:c>
      <x:c r="J11" s="26" t="n">
        <x:v>4.5</x:v>
      </x:c>
      <x:c r="K11" s="26" t="n">
        <x:v>3.5</x:v>
      </x:c>
      <x:c r="L11" s="26" t="n">
        <x:v>4</x:v>
      </x:c>
      <x:c r="M11" s="26" t="n">
        <x:v>3</x:v>
      </x:c>
      <x:c r="N11" t="str">
        <x:v>4–8%</x:v>
      </x:c>
      <x:c r="O11" t="str">
        <x:v>Foreigners can own condos within 49% foreign quota; land/villas usually require leasehold or building ownership + lease structure.</x:v>
      </x:c>
      <x:c r="P11" t="str">
        <x:v>High regional tourism demand, luxury villas, wellness/retirement appeal, potentially high net yield.</x:v>
      </x:c>
      <x:c r="Q11" t="str">
        <x:v>No direct foreign land freehold, nominee/company structure risk, oversupply pockets, tropical maintenance.</x:v>
      </x:c>
      <x:c r="R11" s="20" t="e">
        <x:f>SUMPRODUCT(D11:M11,'Weights &amp; Method'!$B$2:$B$11)/SUM('Weights &amp; Method'!$B$2:$B$11)</x:f>
      </x:c>
      <x:c r="S11" t="e">
        <x:f>IF(R11&gt;=4.1,"A. Priority shortlist",IF(R11&gt;=3.75,"B. Worth deeper diligence",IF(R11&gt;=3.4,"C. Opportunistic / structure-sensitive","D. Avoid unless special edge")))</x:f>
      </x:c>
      <x:c r="T11" t="str">
        <x:v>https://alestriaproperty.com/blog/can-foreigners-buy-property-in-thailand-in-2026-rules-costs-amp-updated-guide</x:v>
      </x:c>
      <x:c r="U11" t="str">
        <x:v>https://samui-island-realty.com/2026/03/17/guide-to-buying-property-in-koh-samui-for-foreigners/</x:v>
      </x:c>
      <x:c r="V11" t="str">
        <x:v>https://www.banyangroupresidences.com/news/how-to-buy-property-in-thailand-as-a-foreigner</x:v>
      </x:c>
    </x:row>
    <x:row r="12" ht="32" customHeight="1">
      <x:c r="A12" t="str">
        <x:v>Bali</x:v>
      </x:c>
      <x:c r="B12" t="str">
        <x:v>Indonesia</x:v>
      </x:c>
      <x:c r="C12" t="str">
        <x:v>Beach / wellness</x:v>
      </x:c>
      <x:c r="D12" s="26" t="n">
        <x:v>5</x:v>
      </x:c>
      <x:c r="E12" s="26" t="n">
        <x:v>3.5</x:v>
      </x:c>
      <x:c r="F12" s="26" t="n">
        <x:v>3.5</x:v>
      </x:c>
      <x:c r="G12" s="26" t="n">
        <x:v>4.5</x:v>
      </x:c>
      <x:c r="H12" s="26" t="n">
        <x:v>2</x:v>
      </x:c>
      <x:c r="I12" s="26" t="n">
        <x:v>3</x:v>
      </x:c>
      <x:c r="J12" s="26" t="n">
        <x:v>4.5</x:v>
      </x:c>
      <x:c r="K12" s="26" t="n">
        <x:v>3.5</x:v>
      </x:c>
      <x:c r="L12" s="26" t="n">
        <x:v>3.5</x:v>
      </x:c>
      <x:c r="M12" s="26" t="n">
        <x:v>2.5</x:v>
      </x:c>
      <x:c r="N12" t="str">
        <x:v>5–10%</x:v>
      </x:c>
      <x:c r="O12" t="str">
        <x:v>Foreigners cannot directly own freehold land; common routes are leasehold, Hak Pakai, or PT PMA/HGB structures.</x:v>
      </x:c>
      <x:c r="P12" t="str">
        <x:v>Very strong global lifestyle brand, villa economics, digital nomads, wellness and events.</x:v>
      </x:c>
      <x:c r="Q12" t="str">
        <x:v>Leasehold decay, legal structure risk, traffic/infrastructure stress, oversupply and execution quality.</x:v>
      </x:c>
      <x:c r="R12" s="20" t="e">
        <x:f>SUMPRODUCT(D12:M12,'Weights &amp; Method'!$B$2:$B$11)/SUM('Weights &amp; Method'!$B$2:$B$11)</x:f>
      </x:c>
      <x:c r="S12" t="e">
        <x:f>IF(R12&gt;=4.1,"A. Priority shortlist",IF(R12&gt;=3.75,"B. Worth deeper diligence",IF(R12&gt;=3.4,"C. Opportunistic / structure-sensitive","D. Avoid unless special edge")))</x:f>
      </x:c>
      <x:c r="T12" t="str">
        <x:v>https://www.balitecture.com/blog/can-foreigners-buy-property-in-bali</x:v>
      </x:c>
      <x:c r="U12" t="str">
        <x:v>https://propertia.com/buying-property-bali-foreigners-guide/</x:v>
      </x:c>
      <x:c r="V12" t="str">
        <x:v>https://prestigepropertybali.com/blog/invest-in-bali-in-2026</x:v>
      </x:c>
    </x:row>
    <x:row r="13" ht="32" customHeight="1">
      <x:c r="A13" t="str">
        <x:v>Da Nang / Hoi An</x:v>
      </x:c>
      <x:c r="B13" t="str">
        <x:v>Vietnam</x:v>
      </x:c>
      <x:c r="C13" t="str">
        <x:v>Beach / heritage city</x:v>
      </x:c>
      <x:c r="D13" s="26" t="n">
        <x:v>4</x:v>
      </x:c>
      <x:c r="E13" s="26" t="n">
        <x:v>4</x:v>
      </x:c>
      <x:c r="F13" s="26" t="n">
        <x:v>3.8</x:v>
      </x:c>
      <x:c r="G13" s="26" t="n">
        <x:v>4</x:v>
      </x:c>
      <x:c r="H13" s="26" t="n">
        <x:v>2.5</x:v>
      </x:c>
      <x:c r="I13" s="26" t="n">
        <x:v>3</x:v>
      </x:c>
      <x:c r="J13" s="26" t="n">
        <x:v>3</x:v>
      </x:c>
      <x:c r="K13" s="26" t="n">
        <x:v>3.8</x:v>
      </x:c>
      <x:c r="L13" s="26" t="n">
        <x:v>3.5</x:v>
      </x:c>
      <x:c r="M13" s="26" t="n">
        <x:v>2.5</x:v>
      </x:c>
      <x:c r="N13" t="str">
        <x:v>2.5–4%</x:v>
      </x:c>
      <x:c r="O13" t="str">
        <x:v>Foreigners can buy units/houses in approved projects, generally on 50-year leasehold; quotas apply and land ownership is not available.</x:v>
      </x:c>
      <x:c r="P13" t="str">
        <x:v>Tourism growth, beach + heritage appeal, lower entry cost, infrastructure growth.</x:v>
      </x:c>
      <x:c r="Q13" t="str">
        <x:v>Leasehold/foreign quota, shallower resale market, brochure ROI risk, governance opacity.</x:v>
      </x:c>
      <x:c r="R13" s="20" t="e">
        <x:f>SUMPRODUCT(D13:M13,'Weights &amp; Method'!$B$2:$B$11)/SUM('Weights &amp; Method'!$B$2:$B$11)</x:f>
      </x:c>
      <x:c r="S13" t="e">
        <x:f>IF(R13&gt;=4.1,"A. Priority shortlist",IF(R13&gt;=3.75,"B. Worth deeper diligence",IF(R13&gt;=3.4,"C. Opportunistic / structure-sensitive","D. Avoid unless special edge")))</x:f>
      </x:c>
      <x:c r="T13" t="str">
        <x:v>https://rumavi.com/en/property-guides/foreign-property-ownership-in-vietnam-what-you-can-and-cant-buy-in-2026</x:v>
      </x:c>
      <x:c r="U13" t="str">
        <x:v>https://www.globalpropertyguide.com/asia/vietnam/price-history</x:v>
      </x:c>
      <x:c r="V13" t="str">
        <x:v>https://bambooroutes.com/blogs/news/da-nang-good-time</x:v>
      </x:c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  <x:row r="21" ht="32" customHeight="1"/>
    <x:row r="22" ht="32" customHeight="1"/>
    <x:row r="23" ht="32" customHeight="1"/>
    <x:row r="24" ht="32" customHeight="1"/>
    <x:row r="25" ht="32" customHeight="1"/>
    <x:row r="26" ht="32" customHeight="1"/>
    <x:row r="27" ht="32" customHeight="1"/>
    <x:row r="28" ht="32" customHeight="1"/>
    <x:row r="29" ht="32" customHeight="1"/>
    <x:row r="30" ht="32" customHeight="1"/>
    <x:row r="31" ht="32" customHeight="1"/>
    <x:row r="32" ht="32" customHeight="1"/>
    <x:row r="33" ht="32" customHeight="1"/>
    <x:row r="34" ht="32" customHeight="1"/>
    <x:row r="35" ht="32" customHeight="1"/>
    <x:row r="36" ht="32" customHeight="1"/>
    <x:row r="37" ht="32" customHeight="1"/>
    <x:row r="38" ht="32" customHeight="1"/>
    <x:row r="39" ht="32" customHeight="1"/>
    <x:row r="40" ht="32" customHeight="1"/>
    <x:row r="41" ht="32" customHeight="1"/>
    <x:row r="42" ht="32" customHeight="1"/>
    <x:row r="43" ht="32" customHeight="1"/>
    <x:row r="44" ht="32" customHeight="1"/>
    <x:row r="45" ht="32" customHeight="1"/>
    <x:row r="46" ht="32" customHeight="1"/>
    <x:row r="47" ht="32" customHeight="1"/>
    <x:row r="48" ht="32" customHeight="1"/>
    <x:row r="49" ht="32" customHeight="1"/>
    <x:row r="50" ht="32" customHeight="1"/>
    <x:row r="51" ht="32" customHeight="1"/>
    <x:row r="52" ht="32" customHeight="1"/>
    <x:row r="53" ht="32" customHeight="1"/>
    <x:row r="54" ht="32" customHeight="1"/>
    <x:row r="55" ht="32" customHeight="1"/>
    <x:row r="56" ht="32" customHeight="1"/>
    <x:row r="57" ht="32" customHeight="1"/>
    <x:row r="58" ht="32" customHeight="1"/>
    <x:row r="59" ht="32" customHeight="1"/>
    <x:row r="60" ht="32" customHeight="1"/>
  </x:sheetData>
  <x:conditionalFormatting sqref="R2:R1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D2:M13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97233b903af476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</x:cols>
  <x:sheetData>
    <x:row r="1" ht="32" customHeight="1">
      <x:c r="A1" s="28" t="str">
        <x:v>Scoring category</x:v>
      </x:c>
      <x:c r="B1" s="28" t="str">
        <x:v>Weight (%)</x:v>
      </x:c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 ht="32" customHeight="1">
      <x:c r="A2" t="str">
        <x:v>Scenery / lifestyle pull</x:v>
      </x:c>
      <x:c r="B2" t="n">
        <x:v>10</x:v>
      </x:c>
    </x:row>
    <x:row r="3" ht="32" customHeight="1">
      <x:c r="A3" t="str">
        <x:v>Airport access</x:v>
      </x:c>
      <x:c r="B3" t="n">
        <x:v>10</x:v>
      </x:c>
    </x:row>
    <x:row r="4" ht="32" customHeight="1">
      <x:c r="A4" t="str">
        <x:v>Global business-centre access</x:v>
      </x:c>
      <x:c r="B4" t="n">
        <x:v>8</x:v>
      </x:c>
    </x:row>
    <x:row r="5" ht="32" customHeight="1">
      <x:c r="A5" t="str">
        <x:v>Year-round activity</x:v>
      </x:c>
      <x:c r="B5" t="n">
        <x:v>10</x:v>
      </x:c>
    </x:row>
    <x:row r="6" ht="32" customHeight="1">
      <x:c r="A6" t="str">
        <x:v>Ownership clarity</x:v>
      </x:c>
      <x:c r="B6" t="n">
        <x:v>12</x:v>
      </x:c>
    </x:row>
    <x:row r="7" ht="32" customHeight="1">
      <x:c r="A7" t="str">
        <x:v>Short-term rental regulatory safety</x:v>
      </x:c>
      <x:c r="B7" t="n">
        <x:v>10</x:v>
      </x:c>
    </x:row>
    <x:row r="8" ht="32" customHeight="1">
      <x:c r="A8" t="str">
        <x:v>Rental profit potential</x:v>
      </x:c>
      <x:c r="B8" t="n">
        <x:v>13</x:v>
      </x:c>
    </x:row>
    <x:row r="9" ht="32" customHeight="1">
      <x:c r="A9" t="str">
        <x:v>Capital appreciation potential</x:v>
      </x:c>
      <x:c r="B9" t="n">
        <x:v>10</x:v>
      </x:c>
    </x:row>
    <x:row r="10" ht="32" customHeight="1">
      <x:c r="A10" t="str">
        <x:v>Retirement suitability</x:v>
      </x:c>
      <x:c r="B10" t="n">
        <x:v>10</x:v>
      </x:c>
    </x:row>
    <x:row r="11" ht="32" customHeight="1">
      <x:c r="A11" t="str">
        <x:v>Exit liquidity</x:v>
      </x:c>
      <x:c r="B11" t="n">
        <x:v>7</x:v>
      </x:c>
    </x:row>
    <x:row r="12" ht="32" customHeight="1"/>
    <x:row r="13" ht="32" customHeight="1">
      <x:c r="A13" t="str">
        <x:v>Method notes</x:v>
      </x:c>
    </x:row>
    <x:row r="14" ht="32" customHeight="1">
      <x:c r="A14" t="str">
        <x:v>Scores are 1–5, where 5 is best. Overall score is weighted by the category weights above.</x:v>
      </x:c>
    </x:row>
    <x:row r="15" ht="32" customHeight="1">
      <x:c r="A15" t="str">
        <x:v>Rental yield ranges are indicative net yield bands after typical management/maintenance/tax drag; actual deal underwriting should use asset-level ADR, occupancy, fees, capex, tax and financing.</x:v>
      </x:c>
    </x:row>
    <x:row r="16" ht="32" customHeight="1">
      <x:c r="A16" t="str">
        <x:v>Ownership score penalises foreign-buyer bans, leasehold/land-title limitations, quota caps and legal-structure dependency.</x:v>
      </x:c>
    </x:row>
    <x:row r="17" ht="32" customHeight="1">
      <x:c r="A17" t="str">
        <x:v>STR regulatory safety score rewards permissive, stable short-term-rental rules and penalises licence scarcity, day caps, local restrictions and political pressure.</x:v>
      </x:c>
    </x:row>
    <x:row r="18" ht="32" customHeight="1">
      <x:c r="A18" t="str">
        <x:v>This is a screening dashboard, not legal, tax, valuation or property advice.</x:v>
      </x:c>
    </x:row>
    <x:row r="19" ht="32" customHeight="1"/>
    <x:row r="20" ht="32" customHeight="1"/>
    <x:row r="21" ht="32" customHeight="1"/>
    <x:row r="22" ht="32" customHeight="1"/>
    <x:row r="23" ht="32" customHeight="1"/>
    <x:row r="24" ht="32" customHeight="1"/>
    <x:row r="25" ht="32" customHeight="1"/>
    <x:row r="26" ht="32" customHeight="1"/>
    <x:row r="27" ht="32" customHeight="1"/>
    <x:row r="28" ht="32" customHeight="1"/>
    <x:row r="29" ht="32" customHeight="1"/>
    <x:row r="30" ht="32" customHeight="1"/>
    <x:row r="31" ht="32" customHeight="1"/>
    <x:row r="32" ht="32" customHeight="1"/>
    <x:row r="33" ht="32" customHeight="1"/>
    <x:row r="34" ht="32" customHeight="1"/>
    <x:row r="35" ht="32" customHeight="1"/>
    <x:row r="36" ht="32" customHeight="1"/>
    <x:row r="37" ht="32" customHeight="1"/>
    <x:row r="38" ht="32" customHeight="1"/>
    <x:row r="39" ht="32" customHeight="1"/>
    <x:row r="40" ht="32" customHeight="1"/>
    <x:row r="41" ht="32" customHeight="1"/>
    <x:row r="42" ht="32" customHeight="1"/>
    <x:row r="43" ht="32" customHeight="1"/>
    <x:row r="44" ht="32" customHeight="1"/>
    <x:row r="45" ht="32" customHeight="1"/>
    <x:row r="46" ht="32" customHeight="1"/>
    <x:row r="47" ht="32" customHeight="1"/>
    <x:row r="48" ht="32" customHeight="1"/>
    <x:row r="49" ht="32" customHeight="1"/>
    <x:row r="50" ht="32" customHeight="1"/>
    <x:row r="51" ht="32" customHeight="1"/>
    <x:row r="52" ht="32" customHeight="1"/>
    <x:row r="53" ht="32" customHeight="1"/>
    <x:row r="54" ht="32" customHeight="1"/>
    <x:row r="55" ht="32" customHeight="1"/>
    <x:row r="56" ht="32" customHeight="1"/>
    <x:row r="57" ht="32" customHeight="1"/>
    <x:row r="58" ht="32" customHeight="1"/>
    <x:row r="59" ht="32" customHeight="1"/>
    <x:row r="60" ht="32" customHeight="1"/>
  </x:sheetData>
  <x:pageMargins left="0.7" right="0.7" top="0.75" bottom="0.75" header="0.3" footer="0.3"/>
  <x:tableParts count="1">
    <x:tablePart xmlns:r="http://schemas.openxmlformats.org/officeDocument/2006/relationships" r:id="Rd394042235f94fe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70" hidden="0" customWidth="1"/>
    <x:col min="4" max="4" width="45" hidden="0" customWidth="1"/>
  </x:cols>
  <x:sheetData>
    <x:row r="1" ht="32" customHeight="1">
      <x:c r="A1" s="28" t="str">
        <x:v>Destination</x:v>
      </x:c>
      <x:c r="B1" s="28" t="str">
        <x:v>Topic</x:v>
      </x:c>
      <x:c r="C1" s="28" t="str">
        <x:v>Source URL</x:v>
      </x:c>
      <x:c r="D1" s="28" t="str">
        <x:v>What it supports</x:v>
      </x:c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 ht="32" customHeight="1">
      <x:c r="A2" t="str">
        <x:v>Niseko</x:v>
      </x:c>
      <x:c r="B2" t="str">
        <x:v>Ownership / legal</x:v>
      </x:c>
      <x:c r="C2" t="str">
        <x:v>https://resourcehub.bakermckenzie.com/en/resources/global-corporate-real-estate-guide/asia-pacific/japan/topics/real-estate-law</x:v>
      </x:c>
      <x:c r="D2" t="str">
        <x:v>Foreign ownership / legal regime</x:v>
      </x:c>
    </x:row>
    <x:row r="3" ht="32" customHeight="1">
      <x:c r="A3" t="str">
        <x:v>Niseko</x:v>
      </x:c>
      <x:c r="B3" t="str">
        <x:v>Rental / market</x:v>
      </x:c>
      <x:c r="C3" t="str">
        <x:v>https://www.japan-property.jp/blog-buy/details158</x:v>
      </x:c>
      <x:c r="D3" t="str">
        <x:v>Yield, ADR, occupancy or market dynamics</x:v>
      </x:c>
    </x:row>
    <x:row r="4" ht="32" customHeight="1">
      <x:c r="A4" t="str">
        <x:v>Niseko</x:v>
      </x:c>
      <x:c r="B4" t="str">
        <x:v>Regulation / tourism</x:v>
      </x:c>
      <x:c r="C4" t="str">
        <x:v>https://www.reuters.com/world/asia-pacific/japan-expand-rules-foreigners-property-purchases-2025-12-16/</x:v>
      </x:c>
      <x:c r="D4" t="str">
        <x:v>Short-term rental, tourism or local context</x:v>
      </x:c>
    </x:row>
    <x:row r="5" ht="32" customHeight="1">
      <x:c r="A5" t="str">
        <x:v>Hakuba</x:v>
      </x:c>
      <x:c r="B5" t="str">
        <x:v>Ownership / legal</x:v>
      </x:c>
      <x:c r="C5" t="str">
        <x:v>https://www.hakuba.com/ja/blogs/buying-in-hakuba/</x:v>
      </x:c>
      <x:c r="D5" t="str">
        <x:v>Foreign ownership / legal regime</x:v>
      </x:c>
    </x:row>
    <x:row r="6" ht="32" customHeight="1">
      <x:c r="A6" t="str">
        <x:v>Hakuba</x:v>
      </x:c>
      <x:c r="B6" t="str">
        <x:v>Rental / market</x:v>
      </x:c>
      <x:c r="C6" t="str">
        <x:v>https://www.japan-property.jp/blog-buy/details158</x:v>
      </x:c>
      <x:c r="D6" t="str">
        <x:v>Yield, ADR, occupancy or market dynamics</x:v>
      </x:c>
    </x:row>
    <x:row r="7" ht="32" customHeight="1">
      <x:c r="A7" t="str">
        <x:v>Hakuba</x:v>
      </x:c>
      <x:c r="B7" t="str">
        <x:v>Regulation / tourism</x:v>
      </x:c>
      <x:c r="C7" t="str">
        <x:v>https://www.akiyajapan.com/articles/best-regions-for-foreign-investors</x:v>
      </x:c>
      <x:c r="D7" t="str">
        <x:v>Short-term rental, tourism or local context</x:v>
      </x:c>
    </x:row>
    <x:row r="8" ht="32" customHeight="1">
      <x:c r="A8" t="str">
        <x:v>Hakone / Izu</x:v>
      </x:c>
      <x:c r="B8" t="str">
        <x:v>Ownership / legal</x:v>
      </x:c>
      <x:c r="C8" t="str">
        <x:v>https://resourcehub.bakermckenzie.com/en/resources/global-corporate-real-estate-guide/asia-pacific/japan/topics/real-estate-law</x:v>
      </x:c>
      <x:c r="D8" t="str">
        <x:v>Foreign ownership / legal regime</x:v>
      </x:c>
    </x:row>
    <x:row r="9" ht="32" customHeight="1">
      <x:c r="A9" t="str">
        <x:v>Hakone / Izu</x:v>
      </x:c>
      <x:c r="B9" t="str">
        <x:v>Rental / market</x:v>
      </x:c>
      <x:c r="C9" t="str">
        <x:v>https://property-concierge.link/contents/18</x:v>
      </x:c>
      <x:c r="D9" t="str">
        <x:v>Yield, ADR, occupancy or market dynamics</x:v>
      </x:c>
    </x:row>
    <x:row r="10" ht="32" customHeight="1">
      <x:c r="A10" t="str">
        <x:v>Hakone / Izu</x:v>
      </x:c>
      <x:c r="B10" t="str">
        <x:v>Regulation / tourism</x:v>
      </x:c>
      <x:c r="C10" t="str">
        <x:v>https://www.japan.travel/en/</x:v>
      </x:c>
      <x:c r="D10" t="str">
        <x:v>Short-term rental, tourism or local context</x:v>
      </x:c>
    </x:row>
    <x:row r="11" ht="32" customHeight="1">
      <x:c r="A11" t="str">
        <x:v>Fukuoka / Itoshima</x:v>
      </x:c>
      <x:c r="B11" t="str">
        <x:v>Ownership / legal</x:v>
      </x:c>
      <x:c r="C11" t="str">
        <x:v>https://resourcehub.bakermckenzie.com/en/resources/global-corporate-real-estate-guide/asia-pacific/japan/topics/real-estate-law</x:v>
      </x:c>
      <x:c r="D11" t="str">
        <x:v>Foreign ownership / legal regime</x:v>
      </x:c>
    </x:row>
    <x:row r="12" ht="32" customHeight="1">
      <x:c r="A12" t="str">
        <x:v>Fukuoka / Itoshima</x:v>
      </x:c>
      <x:c r="B12" t="str">
        <x:v>Rental / market</x:v>
      </x:c>
      <x:c r="C12" t="str">
        <x:v>https://nippontradings.com/japan-real-estate-investment-complete-guide-2026/</x:v>
      </x:c>
      <x:c r="D12" t="str">
        <x:v>Yield, ADR, occupancy or market dynamics</x:v>
      </x:c>
    </x:row>
    <x:row r="13" ht="32" customHeight="1">
      <x:c r="A13" t="str">
        <x:v>Fukuoka / Itoshima</x:v>
      </x:c>
      <x:c r="B13" t="str">
        <x:v>Regulation / tourism</x:v>
      </x:c>
      <x:c r="C13" t="str">
        <x:v>https://www.japan.travel/en/</x:v>
      </x:c>
      <x:c r="D13" t="str">
        <x:v>Short-term rental, tourism or local context</x:v>
      </x:c>
    </x:row>
    <x:row r="14" ht="32" customHeight="1">
      <x:c r="A14" t="str">
        <x:v>Queenstown</x:v>
      </x:c>
      <x:c r="B14" t="str">
        <x:v>Ownership / legal</x:v>
      </x:c>
      <x:c r="C14" t="str">
        <x:v>https://www.linz.govt.nz/guidance/overseas-investment/buying-residential-property-live</x:v>
      </x:c>
      <x:c r="D14" t="str">
        <x:v>Foreign ownership / legal regime</x:v>
      </x:c>
    </x:row>
    <x:row r="15" ht="32" customHeight="1">
      <x:c r="A15" t="str">
        <x:v>Queenstown</x:v>
      </x:c>
      <x:c r="B15" t="str">
        <x:v>Rental / market</x:v>
      </x:c>
      <x:c r="C15" t="str">
        <x:v>https://www.airroi.com/airbnb-data/new-zealand</x:v>
      </x:c>
      <x:c r="D15" t="str">
        <x:v>Yield, ADR, occupancy or market dynamics</x:v>
      </x:c>
    </x:row>
    <x:row r="16" ht="32" customHeight="1">
      <x:c r="A16" t="str">
        <x:v>Queenstown</x:v>
      </x:c>
      <x:c r="B16" t="str">
        <x:v>Regulation / tourism</x:v>
      </x:c>
      <x:c r="C16" t="str">
        <x:v>https://www.forbes.com/sites/forbes-global-properties/2025/09/23/buying-a-home-in-new-zealand-just-got-a-little-easier-for-foreigners/</x:v>
      </x:c>
      <x:c r="D16" t="str">
        <x:v>Short-term rental, tourism or local context</x:v>
      </x:c>
    </x:row>
    <x:row r="17" ht="32" customHeight="1">
      <x:c r="A17" t="str">
        <x:v>Whistler</x:v>
      </x:c>
      <x:c r="B17" t="str">
        <x:v>Ownership / legal</x:v>
      </x:c>
      <x:c r="C17" t="str">
        <x:v>https://www.bcrea.bc.ca/advocacy/federal-foreign-buyers-ban-is-in-effect/</x:v>
      </x:c>
      <x:c r="D17" t="str">
        <x:v>Foreign ownership / legal regime</x:v>
      </x:c>
    </x:row>
    <x:row r="18" ht="32" customHeight="1">
      <x:c r="A18" t="str">
        <x:v>Whistler</x:v>
      </x:c>
      <x:c r="B18" t="str">
        <x:v>Rental / market</x:v>
      </x:c>
      <x:c r="C18" t="str">
        <x:v>https://www.airroi.com/airbnb-data/canada/british-columbia/whistler</x:v>
      </x:c>
      <x:c r="D18" t="str">
        <x:v>Yield, ADR, occupancy or market dynamics</x:v>
      </x:c>
    </x:row>
    <x:row r="19" ht="32" customHeight="1">
      <x:c r="A19" t="str">
        <x:v>Whistler</x:v>
      </x:c>
      <x:c r="B19" t="str">
        <x:v>Regulation / tourism</x:v>
      </x:c>
      <x:c r="C19" t="str">
        <x:v>https://www2.gov.bc.ca/gov/content/taxes/speculation-vacancy-tax</x:v>
      </x:c>
      <x:c r="D19" t="str">
        <x:v>Short-term rental, tourism or local context</x:v>
      </x:c>
    </x:row>
    <x:row r="20" ht="32" customHeight="1">
      <x:c r="A20" t="str">
        <x:v>Chamonix</x:v>
      </x:c>
      <x:c r="B20" t="str">
        <x:v>Ownership / legal</x:v>
      </x:c>
      <x:c r="C20" t="str">
        <x:v>https://www.service-public.gouv.fr/particuliers/actualites/A17883?lang=en</x:v>
      </x:c>
      <x:c r="D20" t="str">
        <x:v>Foreign ownership / legal regime</x:v>
      </x:c>
    </x:row>
    <x:row r="21" ht="32" customHeight="1">
      <x:c r="A21" t="str">
        <x:v>Chamonix</x:v>
      </x:c>
      <x:c r="B21" t="str">
        <x:v>Rental / market</x:v>
      </x:c>
      <x:c r="C21" t="str">
        <x:v>https://shorttermrentalz.com/news/chamonix-short-term-rental-limits-may-2025/</x:v>
      </x:c>
      <x:c r="D21" t="str">
        <x:v>Yield, ADR, occupancy or market dynamics</x:v>
      </x:c>
    </x:row>
    <x:row r="22" ht="32" customHeight="1">
      <x:c r="A22" t="str">
        <x:v>Chamonix</x:v>
      </x:c>
      <x:c r="B22" t="str">
        <x:v>Regulation / tourism</x:v>
      </x:c>
      <x:c r="C22" t="str">
        <x:v>https://airbtics.com/annual-airbnb-revenue-in-chamonix-mont-blanc-auvergne-rhone-alpes-france</x:v>
      </x:c>
      <x:c r="D22" t="str">
        <x:v>Short-term rental, tourism or local context</x:v>
      </x:c>
    </x:row>
    <x:row r="23" ht="32" customHeight="1">
      <x:c r="A23" t="str">
        <x:v>Mallorca</x:v>
      </x:c>
      <x:c r="B23" t="str">
        <x:v>Ownership / legal</x:v>
      </x:c>
      <x:c r="C23" t="str">
        <x:v>https://globallawexperts.com/buying-property-in-spain-2026/</x:v>
      </x:c>
      <x:c r="D23" t="str">
        <x:v>Foreign ownership / legal regime</x:v>
      </x:c>
    </x:row>
    <x:row r="24" ht="32" customHeight="1">
      <x:c r="A24" t="str">
        <x:v>Mallorca</x:v>
      </x:c>
      <x:c r="B24" t="str">
        <x:v>Rental / market</x:v>
      </x:c>
      <x:c r="C24" t="str">
        <x:v>https://www.portfolio-deluxe.com/news/the-lowdown-on-buying-a-rental-property-in-spain-in-2026</x:v>
      </x:c>
      <x:c r="D24" t="str">
        <x:v>Yield, ADR, occupancy or market dynamics</x:v>
      </x:c>
    </x:row>
    <x:row r="25" ht="32" customHeight="1">
      <x:c r="A25" t="str">
        <x:v>Mallorca</x:v>
      </x:c>
      <x:c r="B25" t="str">
        <x:v>Regulation / tourism</x:v>
      </x:c>
      <x:c r="C25" t="str">
        <x:v>https://andersonwestrealestate.com/rental-income-mallorca-property/</x:v>
      </x:c>
      <x:c r="D25" t="str">
        <x:v>Short-term rental, tourism or local context</x:v>
      </x:c>
    </x:row>
    <x:row r="26" ht="32" customHeight="1">
      <x:c r="A26" t="str">
        <x:v>Algarve / Cascais</x:v>
      </x:c>
      <x:c r="B26" t="str">
        <x:v>Ownership / legal</x:v>
      </x:c>
      <x:c r="C26" t="str">
        <x:v>https://www.mondaq.com/landlord-tenant-leases/1791202/buying-property-in-portugal-in-2026-what-foreign-buyers-need-to-know-before-they-sign</x:v>
      </x:c>
      <x:c r="D26" t="str">
        <x:v>Foreign ownership / legal regime</x:v>
      </x:c>
    </x:row>
    <x:row r="27" ht="32" customHeight="1">
      <x:c r="A27" t="str">
        <x:v>Algarve / Cascais</x:v>
      </x:c>
      <x:c r="B27" t="str">
        <x:v>Rental / market</x:v>
      </x:c>
      <x:c r="C27" t="str">
        <x:v>https://www.youroverseashome.com/portugal/articles/short-term-rental-rules-portugal-2026/</x:v>
      </x:c>
      <x:c r="D27" t="str">
        <x:v>Yield, ADR, occupancy or market dynamics</x:v>
      </x:c>
    </x:row>
    <x:row r="28" ht="32" customHeight="1">
      <x:c r="A28" t="str">
        <x:v>Algarve / Cascais</x:v>
      </x:c>
      <x:c r="B28" t="str">
        <x:v>Regulation / tourism</x:v>
      </x:c>
      <x:c r="C28" t="str">
        <x:v>https://www.visitportugal.com/en/destinos/algarve</x:v>
      </x:c>
      <x:c r="D28" t="str">
        <x:v>Short-term rental, tourism or local context</x:v>
      </x:c>
    </x:row>
    <x:row r="29" ht="32" customHeight="1">
      <x:c r="A29" t="str">
        <x:v>Phuket / Koh Samui</x:v>
      </x:c>
      <x:c r="B29" t="str">
        <x:v>Ownership / legal</x:v>
      </x:c>
      <x:c r="C29" t="str">
        <x:v>https://alestriaproperty.com/blog/can-foreigners-buy-property-in-thailand-in-2026-rules-costs-amp-updated-guide</x:v>
      </x:c>
      <x:c r="D29" t="str">
        <x:v>Foreign ownership / legal regime</x:v>
      </x:c>
    </x:row>
    <x:row r="30" ht="32" customHeight="1">
      <x:c r="A30" t="str">
        <x:v>Phuket / Koh Samui</x:v>
      </x:c>
      <x:c r="B30" t="str">
        <x:v>Rental / market</x:v>
      </x:c>
      <x:c r="C30" t="str">
        <x:v>https://samui-island-realty.com/2026/03/17/guide-to-buying-property-in-koh-samui-for-foreigners/</x:v>
      </x:c>
      <x:c r="D30" t="str">
        <x:v>Yield, ADR, occupancy or market dynamics</x:v>
      </x:c>
    </x:row>
    <x:row r="31" ht="32" customHeight="1">
      <x:c r="A31" t="str">
        <x:v>Phuket / Koh Samui</x:v>
      </x:c>
      <x:c r="B31" t="str">
        <x:v>Regulation / tourism</x:v>
      </x:c>
      <x:c r="C31" t="str">
        <x:v>https://www.banyangroupresidences.com/news/how-to-buy-property-in-thailand-as-a-foreigner</x:v>
      </x:c>
      <x:c r="D31" t="str">
        <x:v>Short-term rental, tourism or local context</x:v>
      </x:c>
    </x:row>
    <x:row r="32" ht="32" customHeight="1">
      <x:c r="A32" t="str">
        <x:v>Bali</x:v>
      </x:c>
      <x:c r="B32" t="str">
        <x:v>Ownership / legal</x:v>
      </x:c>
      <x:c r="C32" t="str">
        <x:v>https://www.balitecture.com/blog/can-foreigners-buy-property-in-bali</x:v>
      </x:c>
      <x:c r="D32" t="str">
        <x:v>Foreign ownership / legal regime</x:v>
      </x:c>
    </x:row>
    <x:row r="33" ht="32" customHeight="1">
      <x:c r="A33" t="str">
        <x:v>Bali</x:v>
      </x:c>
      <x:c r="B33" t="str">
        <x:v>Rental / market</x:v>
      </x:c>
      <x:c r="C33" t="str">
        <x:v>https://propertia.com/buying-property-bali-foreigners-guide/</x:v>
      </x:c>
      <x:c r="D33" t="str">
        <x:v>Yield, ADR, occupancy or market dynamics</x:v>
      </x:c>
    </x:row>
    <x:row r="34" ht="32" customHeight="1">
      <x:c r="A34" t="str">
        <x:v>Bali</x:v>
      </x:c>
      <x:c r="B34" t="str">
        <x:v>Regulation / tourism</x:v>
      </x:c>
      <x:c r="C34" t="str">
        <x:v>https://prestigepropertybali.com/blog/invest-in-bali-in-2026</x:v>
      </x:c>
      <x:c r="D34" t="str">
        <x:v>Short-term rental, tourism or local context</x:v>
      </x:c>
    </x:row>
    <x:row r="35" ht="32" customHeight="1">
      <x:c r="A35" t="str">
        <x:v>Da Nang / Hoi An</x:v>
      </x:c>
      <x:c r="B35" t="str">
        <x:v>Ownership / legal</x:v>
      </x:c>
      <x:c r="C35" t="str">
        <x:v>https://rumavi.com/en/property-guides/foreign-property-ownership-in-vietnam-what-you-can-and-cant-buy-in-2026</x:v>
      </x:c>
      <x:c r="D35" t="str">
        <x:v>Foreign ownership / legal regime</x:v>
      </x:c>
    </x:row>
    <x:row r="36" ht="32" customHeight="1">
      <x:c r="A36" t="str">
        <x:v>Da Nang / Hoi An</x:v>
      </x:c>
      <x:c r="B36" t="str">
        <x:v>Rental / market</x:v>
      </x:c>
      <x:c r="C36" t="str">
        <x:v>https://www.globalpropertyguide.com/asia/vietnam/price-history</x:v>
      </x:c>
      <x:c r="D36" t="str">
        <x:v>Yield, ADR, occupancy or market dynamics</x:v>
      </x:c>
    </x:row>
    <x:row r="37" ht="32" customHeight="1">
      <x:c r="A37" t="str">
        <x:v>Da Nang / Hoi An</x:v>
      </x:c>
      <x:c r="B37" t="str">
        <x:v>Regulation / tourism</x:v>
      </x:c>
      <x:c r="C37" t="str">
        <x:v>https://bambooroutes.com/blogs/news/da-nang-good-time</x:v>
      </x:c>
      <x:c r="D37" t="str">
        <x:v>Short-term rental, tourism or local context</x:v>
      </x:c>
    </x:row>
    <x:row r="38" ht="32" customHeight="1"/>
    <x:row r="39" ht="32" customHeight="1"/>
    <x:row r="40" ht="32" customHeight="1"/>
    <x:row r="41" ht="32" customHeight="1"/>
    <x:row r="42" ht="32" customHeight="1"/>
    <x:row r="43" ht="32" customHeight="1"/>
    <x:row r="44" ht="32" customHeight="1"/>
    <x:row r="45" ht="32" customHeight="1"/>
    <x:row r="46" ht="32" customHeight="1"/>
    <x:row r="47" ht="32" customHeight="1"/>
    <x:row r="48" ht="32" customHeight="1"/>
    <x:row r="49" ht="32" customHeight="1"/>
    <x:row r="50" ht="32" customHeight="1"/>
    <x:row r="51" ht="32" customHeight="1"/>
    <x:row r="52" ht="32" customHeight="1"/>
    <x:row r="53" ht="32" customHeight="1"/>
    <x:row r="54" ht="32" customHeight="1"/>
    <x:row r="55" ht="32" customHeight="1"/>
    <x:row r="56" ht="32" customHeight="1"/>
    <x:row r="57" ht="32" customHeight="1"/>
    <x:row r="58" ht="32" customHeight="1"/>
    <x:row r="59" ht="32" customHeight="1"/>
    <x:row r="60" ht="32" customHeight="1"/>
  </x:sheetData>
  <x:pageMargins left="0.7" right="0.7" top="0.75" bottom="0.75" header="0.3" footer="0.3"/>
  <x:tableParts count="1">
    <x:tablePart xmlns:r="http://schemas.openxmlformats.org/officeDocument/2006/relationships" r:id="Rd67b14e3be884732"/>
  </x:tableParts>
</x:worksheet>
</file>